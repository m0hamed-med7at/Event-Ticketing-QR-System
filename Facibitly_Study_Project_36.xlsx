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82E1F75-82EB-4479-8A4B-F1DECDB298E7}" xr6:coauthVersionLast="47" xr6:coauthVersionMax="47" xr10:uidLastSave="{00000000-0000-0000-0000-000000000000}"/>
  <bookViews>
    <workbookView xWindow="-108" yWindow="-108" windowWidth="23256" windowHeight="12456" xr2:uid="{F3C116CC-49BD-408A-88FC-ABF2934B6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17" i="1"/>
  <c r="C15" i="1"/>
  <c r="C11" i="1"/>
</calcChain>
</file>

<file path=xl/sharedStrings.xml><?xml version="1.0" encoding="utf-8"?>
<sst xmlns="http://schemas.openxmlformats.org/spreadsheetml/2006/main" count="34" uniqueCount="32">
  <si>
    <t>Item</t>
  </si>
  <si>
    <t xml:space="preserve">Description </t>
  </si>
  <si>
    <t xml:space="preserve">Cost/Value </t>
  </si>
  <si>
    <t>Hardware</t>
  </si>
  <si>
    <t xml:space="preserve">Software </t>
  </si>
  <si>
    <t>Development Tools &amp; Licenses</t>
  </si>
  <si>
    <t xml:space="preserve">Salaries </t>
  </si>
  <si>
    <t xml:space="preserve">Developers &amp; Designers </t>
  </si>
  <si>
    <t>Total Initial Cost</t>
  </si>
  <si>
    <t xml:space="preserve">Total Initial Development Cost </t>
  </si>
  <si>
    <t xml:space="preserve">Servers , Qr scanners &amp; Mobiles </t>
  </si>
  <si>
    <t xml:space="preserve">Hosting </t>
  </si>
  <si>
    <t xml:space="preserve">Cloud Hosting &amp; Server Maintenance </t>
  </si>
  <si>
    <t>APIs</t>
  </si>
  <si>
    <t xml:space="preserve">Payment Gateway &amp; API Services </t>
  </si>
  <si>
    <t xml:space="preserve">Maintenance </t>
  </si>
  <si>
    <t xml:space="preserve">System Support &amp; Updates </t>
  </si>
  <si>
    <t>Marketing</t>
  </si>
  <si>
    <t xml:space="preserve">Marketing &amp; Admin Expenses </t>
  </si>
  <si>
    <t xml:space="preserve">Total Operational Cost </t>
  </si>
  <si>
    <t xml:space="preserve">Total Annual Operational Cost </t>
  </si>
  <si>
    <t xml:space="preserve">Subscription </t>
  </si>
  <si>
    <t xml:space="preserve">Hardware Rental Services </t>
  </si>
  <si>
    <t>Qr Scanner Rental Services</t>
  </si>
  <si>
    <t xml:space="preserve">Total Benefits </t>
  </si>
  <si>
    <t xml:space="preserve">Total Annual Benefits </t>
  </si>
  <si>
    <t xml:space="preserve">Net Cash Flow </t>
  </si>
  <si>
    <t xml:space="preserve">Total Annual Net Cash Flow </t>
  </si>
  <si>
    <t xml:space="preserve">Payback Period </t>
  </si>
  <si>
    <t xml:space="preserve">7.2 Months </t>
  </si>
  <si>
    <t xml:space="preserve">ROI </t>
  </si>
  <si>
    <t>Ticket Sales Commission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</si>
</sst>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9C24-D851-43A2-9123-C3C1723ED404}">
  <dimension ref="A1:C19"/>
  <sheetViews>
    <sheetView tabSelected="1" workbookViewId="0">
      <selection activeCell="H21" sqref="H21"/>
    </sheetView>
  </sheetViews>
  <sheetFormatPr defaultRowHeight="14.4" x14ac:dyDescent="0.3"/>
  <cols>
    <col min="1" max="1" width="22.88671875" style="2" customWidth="1"/>
    <col min="2" max="2" width="30.6640625" style="2" customWidth="1"/>
    <col min="3" max="3" width="10.33203125" style="1" customWidth="1"/>
  </cols>
  <sheetData>
    <row r="1" spans="1:3" x14ac:dyDescent="0.3">
      <c r="A1" s="6" t="s">
        <v>0</v>
      </c>
      <c r="B1" s="6" t="s">
        <v>1</v>
      </c>
      <c r="C1" s="7" t="s">
        <v>2</v>
      </c>
    </row>
    <row r="2" spans="1:3" x14ac:dyDescent="0.3">
      <c r="A2" s="2" t="s">
        <v>3</v>
      </c>
      <c r="B2" s="2" t="s">
        <v>10</v>
      </c>
      <c r="C2" s="1">
        <v>2500</v>
      </c>
    </row>
    <row r="3" spans="1:3" x14ac:dyDescent="0.3">
      <c r="A3" s="2" t="s">
        <v>4</v>
      </c>
      <c r="B3" s="2" t="s">
        <v>5</v>
      </c>
      <c r="C3" s="1">
        <v>800</v>
      </c>
    </row>
    <row r="4" spans="1:3" ht="15" customHeight="1" x14ac:dyDescent="0.3">
      <c r="A4" s="2" t="s">
        <v>6</v>
      </c>
      <c r="B4" s="2" t="s">
        <v>7</v>
      </c>
      <c r="C4" s="1">
        <v>6000</v>
      </c>
    </row>
    <row r="5" spans="1:3" x14ac:dyDescent="0.3">
      <c r="A5" s="3" t="s">
        <v>8</v>
      </c>
      <c r="B5" s="3" t="s">
        <v>9</v>
      </c>
      <c r="C5" s="4">
        <f>SUM(C2:C4)</f>
        <v>9300</v>
      </c>
    </row>
    <row r="7" spans="1:3" x14ac:dyDescent="0.3">
      <c r="A7" s="2" t="s">
        <v>11</v>
      </c>
      <c r="B7" s="2" t="s">
        <v>12</v>
      </c>
      <c r="C7" s="1">
        <v>1200</v>
      </c>
    </row>
    <row r="8" spans="1:3" x14ac:dyDescent="0.3">
      <c r="A8" s="2" t="s">
        <v>13</v>
      </c>
      <c r="B8" s="2" t="s">
        <v>14</v>
      </c>
      <c r="C8" s="1">
        <v>600</v>
      </c>
    </row>
    <row r="9" spans="1:3" x14ac:dyDescent="0.3">
      <c r="A9" s="2" t="s">
        <v>15</v>
      </c>
      <c r="B9" s="2" t="s">
        <v>16</v>
      </c>
      <c r="C9" s="1">
        <v>1000</v>
      </c>
    </row>
    <row r="10" spans="1:3" x14ac:dyDescent="0.3">
      <c r="A10" s="2" t="s">
        <v>17</v>
      </c>
      <c r="B10" s="2" t="s">
        <v>18</v>
      </c>
      <c r="C10" s="1">
        <v>800</v>
      </c>
    </row>
    <row r="11" spans="1:3" x14ac:dyDescent="0.3">
      <c r="A11" s="3" t="s">
        <v>19</v>
      </c>
      <c r="B11" s="3" t="s">
        <v>20</v>
      </c>
      <c r="C11" s="4">
        <f>SUM(C7:C10)</f>
        <v>3600</v>
      </c>
    </row>
    <row r="13" spans="1:3" x14ac:dyDescent="0.3">
      <c r="A13" s="2" t="s">
        <v>21</v>
      </c>
      <c r="B13" s="2" t="s">
        <v>31</v>
      </c>
      <c r="C13" s="1">
        <v>15500</v>
      </c>
    </row>
    <row r="14" spans="1:3" x14ac:dyDescent="0.3">
      <c r="A14" s="2" t="s">
        <v>22</v>
      </c>
      <c r="B14" s="2" t="s">
        <v>23</v>
      </c>
      <c r="C14" s="1">
        <v>3500</v>
      </c>
    </row>
    <row r="15" spans="1:3" x14ac:dyDescent="0.3">
      <c r="A15" s="3" t="s">
        <v>24</v>
      </c>
      <c r="B15" s="3" t="s">
        <v>25</v>
      </c>
      <c r="C15" s="4">
        <f>SUM(C13:C14)</f>
        <v>19000</v>
      </c>
    </row>
    <row r="17" spans="1:3" x14ac:dyDescent="0.3">
      <c r="A17" s="2" t="s">
        <v>26</v>
      </c>
      <c r="B17" s="2" t="s">
        <v>27</v>
      </c>
      <c r="C17" s="1">
        <f>(C15-C11)</f>
        <v>15400</v>
      </c>
    </row>
    <row r="18" spans="1:3" x14ac:dyDescent="0.3">
      <c r="A18" s="2" t="s">
        <v>28</v>
      </c>
      <c r="B18" s="2" t="s">
        <v>28</v>
      </c>
      <c r="C18" s="1" t="s">
        <v>29</v>
      </c>
    </row>
    <row r="19" spans="1:3" x14ac:dyDescent="0.3">
      <c r="A19" s="3" t="s">
        <v>30</v>
      </c>
      <c r="B19" s="3" t="s">
        <v>30</v>
      </c>
      <c r="C19" s="5">
        <v>1.65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mohamed ebrahim ghanem</dc:creator>
  <cp:lastModifiedBy>Amin mohamed ebrahim ghanem</cp:lastModifiedBy>
  <cp:lastPrinted>2026-10-14T11:14:53Z</cp:lastPrinted>
  <dcterms:created xsi:type="dcterms:W3CDTF">2026-10-14T10:43:15Z</dcterms:created>
  <dcterms:modified xsi:type="dcterms:W3CDTF">2026-10-14T11:20:16Z</dcterms:modified>
</cp:coreProperties>
</file>